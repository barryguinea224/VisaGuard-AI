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70" windowWidth="14055" windowHeight="6090"/>
  </bookViews>
  <sheets>
    <sheet name="Test Cases" sheetId="1" r:id="rId1"/>
    <sheet name="Dashboard" sheetId="2" r:id="rId2"/>
  </sheets>
  <calcPr calcId="144525"/>
</workbook>
</file>

<file path=xl/calcChain.xml><?xml version="1.0" encoding="utf-8"?>
<calcChain xmlns="http://schemas.openxmlformats.org/spreadsheetml/2006/main">
  <c r="B9" i="2" l="1"/>
  <c r="B8" i="2"/>
  <c r="B4" i="2"/>
  <c r="B3" i="2"/>
  <c r="B2" i="2"/>
  <c r="B5" i="2" s="1"/>
</calcChain>
</file>

<file path=xl/sharedStrings.xml><?xml version="1.0" encoding="utf-8"?>
<sst xmlns="http://schemas.openxmlformats.org/spreadsheetml/2006/main" count="68" uniqueCount="37">
  <si>
    <t>Test ID</t>
  </si>
  <si>
    <t>Scenario</t>
  </si>
  <si>
    <t>Category</t>
  </si>
  <si>
    <t>Expected Result</t>
  </si>
  <si>
    <t>Actual Result</t>
  </si>
  <si>
    <t>Confidence (%)</t>
  </si>
  <si>
    <t>Status</t>
  </si>
  <si>
    <t>P1</t>
  </si>
  <si>
    <t>O vs 0 mismatch</t>
  </si>
  <si>
    <t>Positive</t>
  </si>
  <si>
    <t>ACCEPT</t>
  </si>
  <si>
    <t>PASS</t>
  </si>
  <si>
    <t>P2</t>
  </si>
  <si>
    <t>Exact match</t>
  </si>
  <si>
    <t>P3</t>
  </si>
  <si>
    <t>Name exact match</t>
  </si>
  <si>
    <t>P4</t>
  </si>
  <si>
    <t>Complex pattern</t>
  </si>
  <si>
    <t>Edge Case</t>
  </si>
  <si>
    <t>P5</t>
  </si>
  <si>
    <t>Perfect match</t>
  </si>
  <si>
    <t>P6</t>
  </si>
  <si>
    <t>Expired document</t>
  </si>
  <si>
    <t>Negative</t>
  </si>
  <si>
    <t>REJECT</t>
  </si>
  <si>
    <t>P7</t>
  </si>
  <si>
    <t>Fraud mismatch</t>
  </si>
  <si>
    <t>Metric</t>
  </si>
  <si>
    <t>Value</t>
  </si>
  <si>
    <t>Confidence</t>
  </si>
  <si>
    <t>Total Tests Executed</t>
  </si>
  <si>
    <t>Total Passed</t>
  </si>
  <si>
    <t>Total Failed</t>
  </si>
  <si>
    <t>Pass Rate (%)</t>
  </si>
  <si>
    <t>Count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</si>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</sst>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Test Results Distribution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Dashboard!$B$7</c:f>
              <c:strCache>
                <c:ptCount val="1"/>
                <c:pt idx="0">
                  <c:v>Count</c:v>
                </c:pt>
              </c:strCache>
            </c:strRef>
          </c:tx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Dashboard!$A$8:$A$9</c:f>
              <c:strCache>
                <c:ptCount val="2"/>
                <c:pt idx="0">
                  <c:v>Passed</c:v>
                </c:pt>
                <c:pt idx="1">
                  <c:v>Failed</c:v>
                </c:pt>
              </c:strCache>
            </c:strRef>
          </c:cat>
          <c:val>
            <c:numRef>
              <c:f>Dashboard!$B$8:$B$9</c:f>
              <c:numCache>
                <c:formatCode>General</c:formatCode>
                <c:ptCount val="2"/>
                <c:pt idx="0">
                  <c:v>7</c:v>
                </c:pt>
                <c:pt idx="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Execution Summary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Dashboard!$A$2:$A$4</c:f>
              <c:strCache>
                <c:ptCount val="3"/>
                <c:pt idx="0">
                  <c:v>Total Tests Executed</c:v>
                </c:pt>
                <c:pt idx="1">
                  <c:v>Total Passed</c:v>
                </c:pt>
                <c:pt idx="2">
                  <c:v>Total Failed</c:v>
                </c:pt>
              </c:strCache>
            </c:strRef>
          </c:cat>
          <c:val>
            <c:numRef>
              <c:f>Dashboard!$B$2:$B$4</c:f>
              <c:numCache>
                <c:formatCode>General</c:formatCode>
                <c:ptCount val="3"/>
                <c:pt idx="0">
                  <c:v>7</c:v>
                </c:pt>
                <c:pt idx="1">
                  <c:v>7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34857472"/>
        <c:axId val="134859008"/>
      </c:barChart>
      <c:catAx>
        <c:axId val="134857472"/>
        <c:scaling>
          <c:orientation val="minMax"/>
        </c:scaling>
        <c:delete val="0"/>
        <c:axPos val="b"/>
        <c:majorTickMark val="none"/>
        <c:minorTickMark val="none"/>
        <c:tickLblPos val="nextTo"/>
        <c:crossAx val="134859008"/>
        <c:crosses val="autoZero"/>
        <c:auto val="1"/>
        <c:lblAlgn val="ctr"/>
        <c:lblOffset val="100"/>
        <c:noMultiLvlLbl val="1"/>
      </c:catAx>
      <c:valAx>
        <c:axId val="13485900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13485747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589518518518518"/>
          <c:y val="0.88672111111111107"/>
          <c:w val="0.60461703703703706"/>
          <c:h val="8.5056666666666669E-2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Confidence Score Trend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Dashboard!$B$1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Dashboard!$A$2:$A$8</c:f>
              <c:strCache>
                <c:ptCount val="7"/>
                <c:pt idx="0">
                  <c:v>Total Tests Executed</c:v>
                </c:pt>
                <c:pt idx="1">
                  <c:v>Total Passed</c:v>
                </c:pt>
                <c:pt idx="2">
                  <c:v>Total Failed</c:v>
                </c:pt>
                <c:pt idx="3">
                  <c:v>Pass Rate (%)</c:v>
                </c:pt>
                <c:pt idx="5">
                  <c:v>Status</c:v>
                </c:pt>
                <c:pt idx="6">
                  <c:v>Passed</c:v>
                </c:pt>
              </c:strCache>
            </c:strRef>
          </c:cat>
          <c:val>
            <c:numRef>
              <c:f>Dashboard!$B$2:$B$8</c:f>
              <c:numCache>
                <c:formatCode>General</c:formatCode>
                <c:ptCount val="7"/>
                <c:pt idx="0">
                  <c:v>7</c:v>
                </c:pt>
                <c:pt idx="1">
                  <c:v>7</c:v>
                </c:pt>
                <c:pt idx="2">
                  <c:v>0</c:v>
                </c:pt>
                <c:pt idx="3">
                  <c:v>100</c:v>
                </c:pt>
                <c:pt idx="5">
                  <c:v>0</c:v>
                </c:pt>
                <c:pt idx="6">
                  <c:v>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759616"/>
        <c:axId val="139761536"/>
      </c:lineChart>
      <c:catAx>
        <c:axId val="139759616"/>
        <c:scaling>
          <c:orientation val="minMax"/>
        </c:scaling>
        <c:delete val="1"/>
        <c:axPos val="b"/>
        <c:majorTickMark val="none"/>
        <c:minorTickMark val="none"/>
        <c:tickLblPos val="nextTo"/>
        <c:crossAx val="139761536"/>
        <c:crosses val="autoZero"/>
        <c:auto val="1"/>
        <c:lblAlgn val="ctr"/>
        <c:lblOffset val="100"/>
        <c:noMultiLvlLbl val="1"/>
      </c:catAx>
      <c:valAx>
        <c:axId val="139761536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39759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3334611111111114"/>
          <c:y val="0.20700518518518518"/>
          <c:w val="0.26665388888888891"/>
          <c:h val="0.59539666666666669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600075</xdr:colOff>
      <xdr:row>9</xdr:row>
      <xdr:rowOff>161925</xdr:rowOff>
    </xdr:from>
    <xdr:ext cx="5400000" cy="270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523875</xdr:colOff>
      <xdr:row>25</xdr:row>
      <xdr:rowOff>104775</xdr:rowOff>
    </xdr:from>
    <xdr:ext cx="5400000" cy="270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F16" sqref="F16"/>
    </sheetView>
  </sheetViews>
  <sheetFormatPr defaultRowHeight="15" x14ac:dyDescent="0.25"/>
  <cols>
    <col min="2" max="2" width="23" customWidth="1"/>
    <col min="3" max="3" width="12.85546875" customWidth="1"/>
    <col min="6" max="6" width="17" customWidth="1"/>
    <col min="7" max="7" width="16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10</v>
      </c>
      <c r="F2" s="1">
        <v>94</v>
      </c>
      <c r="G2" s="1" t="s">
        <v>11</v>
      </c>
    </row>
    <row r="3" spans="1:7" x14ac:dyDescent="0.25">
      <c r="A3" s="1" t="s">
        <v>12</v>
      </c>
      <c r="B3" s="1" t="s">
        <v>13</v>
      </c>
      <c r="C3" s="1" t="s">
        <v>9</v>
      </c>
      <c r="D3" s="1" t="s">
        <v>10</v>
      </c>
      <c r="E3" s="1" t="s">
        <v>10</v>
      </c>
      <c r="F3" s="1">
        <v>99</v>
      </c>
      <c r="G3" s="1" t="s">
        <v>11</v>
      </c>
    </row>
    <row r="4" spans="1:7" x14ac:dyDescent="0.25">
      <c r="A4" s="1" t="s">
        <v>14</v>
      </c>
      <c r="B4" s="1" t="s">
        <v>15</v>
      </c>
      <c r="C4" s="1" t="s">
        <v>9</v>
      </c>
      <c r="D4" s="1" t="s">
        <v>10</v>
      </c>
      <c r="E4" s="1" t="s">
        <v>10</v>
      </c>
      <c r="F4" s="1">
        <v>99</v>
      </c>
      <c r="G4" s="1" t="s">
        <v>11</v>
      </c>
    </row>
    <row r="5" spans="1:7" x14ac:dyDescent="0.25">
      <c r="A5" s="1" t="s">
        <v>16</v>
      </c>
      <c r="B5" s="1" t="s">
        <v>17</v>
      </c>
      <c r="C5" s="1" t="s">
        <v>18</v>
      </c>
      <c r="D5" s="1" t="s">
        <v>10</v>
      </c>
      <c r="E5" s="1" t="s">
        <v>10</v>
      </c>
      <c r="F5" s="1">
        <v>91</v>
      </c>
      <c r="G5" s="1" t="s">
        <v>11</v>
      </c>
    </row>
    <row r="6" spans="1:7" x14ac:dyDescent="0.25">
      <c r="A6" s="1" t="s">
        <v>19</v>
      </c>
      <c r="B6" s="1" t="s">
        <v>20</v>
      </c>
      <c r="C6" s="1" t="s">
        <v>9</v>
      </c>
      <c r="D6" s="1" t="s">
        <v>10</v>
      </c>
      <c r="E6" s="1" t="s">
        <v>10</v>
      </c>
      <c r="F6" s="1">
        <v>100</v>
      </c>
      <c r="G6" s="1" t="s">
        <v>11</v>
      </c>
    </row>
    <row r="7" spans="1:7" x14ac:dyDescent="0.25">
      <c r="A7" s="1" t="s">
        <v>21</v>
      </c>
      <c r="B7" s="1" t="s">
        <v>22</v>
      </c>
      <c r="C7" s="1" t="s">
        <v>23</v>
      </c>
      <c r="D7" s="1" t="s">
        <v>24</v>
      </c>
      <c r="E7" s="1" t="s">
        <v>24</v>
      </c>
      <c r="F7" s="1">
        <v>100</v>
      </c>
      <c r="G7" s="1" t="s">
        <v>11</v>
      </c>
    </row>
    <row r="8" spans="1:7" x14ac:dyDescent="0.25">
      <c r="A8" s="1" t="s">
        <v>25</v>
      </c>
      <c r="B8" s="1" t="s">
        <v>26</v>
      </c>
      <c r="C8" s="1" t="s">
        <v>23</v>
      </c>
      <c r="D8" s="1" t="s">
        <v>24</v>
      </c>
      <c r="E8" s="1" t="s">
        <v>24</v>
      </c>
      <c r="F8" s="1">
        <v>100</v>
      </c>
      <c r="G8" s="1" t="s">
        <v>11</v>
      </c>
    </row>
  </sheetData>
  <conditionalFormatting sqref="G2:G100">
    <cfRule type="expression" dxfId="1" priority="1">
      <formula>G2="PASS"</formula>
    </cfRule>
    <cfRule type="expression" dxfId="0" priority="2">
      <formula>G2="FAIL"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R30" sqref="R30"/>
    </sheetView>
  </sheetViews>
  <sheetFormatPr defaultRowHeight="15" x14ac:dyDescent="0.25"/>
  <cols>
    <col min="1" max="1" width="11.7109375" customWidth="1"/>
  </cols>
  <sheetData>
    <row r="1" spans="1:5" x14ac:dyDescent="0.25">
      <c r="A1" t="s">
        <v>27</v>
      </c>
      <c r="B1" t="s">
        <v>28</v>
      </c>
      <c r="D1" t="s">
        <v>0</v>
      </c>
      <c r="E1" t="s">
        <v>29</v>
      </c>
    </row>
    <row r="2" spans="1:5" x14ac:dyDescent="0.25">
      <c r="A2" t="s">
        <v>30</v>
      </c>
      <c r="B2">
        <f>COUNTA('Test Cases'!A2:A100)</f>
        <v>7</v>
      </c>
      <c r="D2" t="s">
        <v>7</v>
      </c>
      <c r="E2">
        <v>94</v>
      </c>
    </row>
    <row r="3" spans="1:5" x14ac:dyDescent="0.25">
      <c r="A3" t="s">
        <v>31</v>
      </c>
      <c r="B3">
        <f>COUNTIF('Test Cases'!G2:G100,"PASS")</f>
        <v>7</v>
      </c>
      <c r="D3" t="s">
        <v>12</v>
      </c>
      <c r="E3">
        <v>99</v>
      </c>
    </row>
    <row r="4" spans="1:5" x14ac:dyDescent="0.25">
      <c r="A4" t="s">
        <v>32</v>
      </c>
      <c r="B4">
        <f>COUNTIF('Test Cases'!G2:G100,"FAIL")</f>
        <v>0</v>
      </c>
      <c r="D4" t="s">
        <v>14</v>
      </c>
      <c r="E4">
        <v>99</v>
      </c>
    </row>
    <row r="5" spans="1:5" x14ac:dyDescent="0.25">
      <c r="A5" t="s">
        <v>33</v>
      </c>
      <c r="B5">
        <f>IF(B2=0,0,(B3/B2)*100)</f>
        <v>100</v>
      </c>
      <c r="D5" t="s">
        <v>16</v>
      </c>
      <c r="E5">
        <v>91</v>
      </c>
    </row>
    <row r="6" spans="1:5" x14ac:dyDescent="0.25">
      <c r="D6" t="s">
        <v>19</v>
      </c>
      <c r="E6">
        <v>100</v>
      </c>
    </row>
    <row r="7" spans="1:5" x14ac:dyDescent="0.25">
      <c r="A7" t="s">
        <v>6</v>
      </c>
      <c r="B7" t="s">
        <v>34</v>
      </c>
      <c r="D7" t="s">
        <v>21</v>
      </c>
      <c r="E7">
        <v>100</v>
      </c>
    </row>
    <row r="8" spans="1:5" x14ac:dyDescent="0.25">
      <c r="A8" t="s">
        <v>35</v>
      </c>
      <c r="B8">
        <f>COUNTIF('Test Cases'!G2:G100,"PASS")</f>
        <v>7</v>
      </c>
      <c r="D8" t="s">
        <v>25</v>
      </c>
      <c r="E8">
        <v>100</v>
      </c>
    </row>
    <row r="9" spans="1:5" x14ac:dyDescent="0.25">
      <c r="A9" t="s">
        <v>36</v>
      </c>
      <c r="B9">
        <f>COUNTIF('Test Cases'!G2:G100,"FAIL")</f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2026-05-03T08:47:05Z</dcterms:created>
  <dcterms:modified xsi:type="dcterms:W3CDTF">2026-05-03T09:36:16Z</dcterms:modified>
</cp:coreProperties>
</file>